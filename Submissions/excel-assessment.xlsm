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1" hidePivotFieldList="1" defaultThemeVersion="166925"/>
  <mc:AlternateContent xmlns:mc="http://schemas.openxmlformats.org/markup-compatibility/2006">
    <mc:Choice Requires="x15">
      <x15ac:absPath xmlns:x15ac="http://schemas.microsoft.com/office/spreadsheetml/2010/11/ac" url="C:\Users\PC\Desktop\New folder (4)\"/>
    </mc:Choice>
  </mc:AlternateContent>
  <xr:revisionPtr revIDLastSave="0" documentId="13_ncr:1_{D8C338F4-1C1E-413D-B1BB-94D903780F02}" xr6:coauthVersionLast="47" xr6:coauthVersionMax="47" xr10:uidLastSave="{00000000-0000-0000-0000-000000000000}"/>
  <bookViews>
    <workbookView xWindow="-108" yWindow="-108" windowWidth="23256" windowHeight="12456" tabRatio="849" firstSheet="1"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6" i="20" l="1" a="1"/>
  <c r="C26" i="20" s="1"/>
  <c r="C23" i="20" a="1"/>
  <c r="C23" i="20"/>
  <c r="C24" i="20" a="1"/>
  <c r="C24" i="20" s="1"/>
  <c r="C25" i="20" a="1"/>
  <c r="C25" i="20" s="1"/>
  <c r="C27" i="20" a="1"/>
  <c r="C27" i="20" s="1"/>
  <c r="C28" i="20" a="1"/>
  <c r="C28" i="20" s="1"/>
  <c r="C29" i="20" a="1"/>
  <c r="C29" i="20" s="1"/>
  <c r="C30" i="20" a="1"/>
  <c r="C30" i="20" s="1"/>
  <c r="C31" i="20" a="1"/>
  <c r="C31" i="20" s="1"/>
  <c r="C32" i="20" a="1"/>
  <c r="C32" i="20" s="1"/>
  <c r="C33" i="20" a="1"/>
  <c r="C33" i="20" s="1"/>
  <c r="C34" i="20" a="1"/>
  <c r="C34" i="20" s="1"/>
  <c r="C35" i="20" a="1"/>
  <c r="C35" i="20" s="1"/>
  <c r="C22" i="19" a="1"/>
  <c r="C22" i="19" s="1"/>
  <c r="B7" i="18"/>
  <c r="B8" i="18"/>
  <c r="B9" i="18"/>
  <c r="B10" i="18"/>
  <c r="B11" i="18"/>
  <c r="B12" i="18"/>
  <c r="B13" i="18"/>
  <c r="B15" i="18"/>
  <c r="B16" i="18"/>
  <c r="B17" i="18"/>
  <c r="B18" i="18"/>
  <c r="B19" i="18"/>
  <c r="B20" i="18"/>
  <c r="B21" i="18"/>
  <c r="B22" i="18"/>
  <c r="B23" i="18"/>
  <c r="B24" i="18"/>
  <c r="B25" i="18"/>
  <c r="B26" i="18"/>
  <c r="B27" i="18"/>
  <c r="C28" i="18"/>
  <c r="D28" i="18"/>
  <c r="E28" i="18"/>
  <c r="F28" i="18"/>
  <c r="F30" i="18"/>
  <c r="E30" i="18"/>
  <c r="D30" i="18"/>
  <c r="C30" i="18"/>
  <c r="E29" i="18"/>
  <c r="D29" i="18"/>
  <c r="C29"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6" i="18"/>
  <c r="B14" i="18"/>
  <c r="G1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<sst xmlns="http://schemas.openxmlformats.org/spreadsheetml/2006/main" count="417" uniqueCount="192">
  <si>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</si>
  <si>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</si>
  <si>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</si>
  <si>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</si>
  <si>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</si>
  <si>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</si>
  <si>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</si>
  <si>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</si>
  <si>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</si>
  <si>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</si>
  <si>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</si>
  <si>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</si>
  <si>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</si>
  <si>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</si>
  <si>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</si>
  <si>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</si>
  <si>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</si>
  <si>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</si>
  <si>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</si>
  <si>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</si>
  <si>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</si>
  <si>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</si>
  <si>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</si>
  <si>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</si>
  <si>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</si>
  <si>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</si>
  <si>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</si>
  <si>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</si>
  <si>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</si>
  <si>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</si>
  <si>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</si>
  <si>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</si>
  <si>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</si>
  <si>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</si>
  <si>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</si>
  <si>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</si>
  <si>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</si>
  <si>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</si>
  <si>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</si>
  <si>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</si>
  <si>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</si>
  <si>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</si>
  <si>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</si>
  <si>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</si>
  <si>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</si>
  <si>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</si>
  <si>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</si>
  <si>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</si>
  <si>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</si>
  <si>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</si>
  <si>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</si>
  <si>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</si>
  <si>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</si>
  <si>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</si>
  <si>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</si>
  <si>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</si>
  <si>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</si>
  <si>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</si>
  <si>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</si>
  <si>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</si>
  <si>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</si>
  <si>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</si>
  <si>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</si>
  <si>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</si>
  <si>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</si>
  <si>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</si>
  <si>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</si>
  <si>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</si>
  <si>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</si>
  <si>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</si>
  <si>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</si>
  <si>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</si>
  <si>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</si>
  <si>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</si>
  <si>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</si>
  <si>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</si>
  <si>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</si>
  <si>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</si>
  <si>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</si>
  <si>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</si>
  <si>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</si>
  <si>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</si>
  <si>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</si>
  <si>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</si>
  <si>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</si>
  <si>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</si>
  <si>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</si>
  <si>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</si>
  <si>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</si>
  <si>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</si>
  <si>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</si>
  <si>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</si>
  <si>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</si>
  <si>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</si>
  <si>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</si>
  <si>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</si>
  <si>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</si>
  <si>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</si>
  <si>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</si>
  <si>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</si>
  <si>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</si>
  <si>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</si>
  <si>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</si>
  <si>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</si>
  <si>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</si>
  <si>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</si>
  <si>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</si>
  <si>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</si>
  <si>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</si>
  <si>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</si>
  <si>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</si>
  <si>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</si>
  <si>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20000-Monday-0-Sunday-24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</si>
  <si>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</si>
  <si>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</si>
  <si>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</si>
  <si>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</si>
  <si>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</si>
  <si>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</si>
  <si>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</si>
  <si>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</si>
  <si>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</si>
  <si>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</si>
  <si>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</si>
  <si>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</si>
  <si>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</si>
  <si>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</si>
  <si>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</si>
  <si>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</si>
  <si>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</si>
  <si>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</si>
  <si>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</si>
  <si>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</si>
  <si>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</si>
  <si>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</si>
  <si>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</si>
  <si>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</si>
  <si>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</si>
  <si>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</si>
  <si>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20000-Monday-0-Sunday-25</t>
  </si>
  <si>
    <t>20000-Monday-0-Sunday-26</t>
  </si>
  <si>
    <t>20000-Monday-0-Sunday-27</t>
  </si>
  <si>
    <t>20000-Monday-0-Sunday-28</t>
  </si>
  <si>
    <t>20000-Monday-0-Sunday-29</t>
  </si>
  <si>
    <t>20000-Monday-0-Sunday-30</t>
  </si>
  <si>
    <t>20000-Monday-0-Sunday-31</t>
  </si>
  <si>
    <t>20000-Monday-0-Sunday-32</t>
  </si>
  <si>
    <t>20000-Monday-0-Sunday-33</t>
  </si>
  <si>
    <t>20000-Monday-0-Sunday-34</t>
  </si>
  <si>
    <t>20000-Monday-0-Sunday-35</t>
  </si>
  <si>
    <t>20000-Monday-0-Sunday-36</t>
  </si>
  <si>
    <t>20000-Monday-0-Sunday-37</t>
  </si>
  <si>
    <t>20000-Monday-0-Sunday-38</t>
  </si>
  <si>
    <t>20000-Monday-0-Sunday-39</t>
  </si>
  <si>
    <t>20000-Monday-0-Sunday-40</t>
  </si>
  <si>
    <t>20000-Monday-0-Sunday-41</t>
  </si>
  <si>
    <t>20000-Monday-0-Sunday-42</t>
  </si>
  <si>
    <t>20000-Monday-0-Sunday-43</t>
  </si>
  <si>
    <t>20000-Monday-0-Sunday-44</t>
  </si>
  <si>
    <t>20000-Monday-0-Sunday-45</t>
  </si>
  <si>
    <t>20000-Monday-0-Sunday-46</t>
  </si>
  <si>
    <t>20000-Monday-0-Sunday-47</t>
  </si>
  <si>
    <t>20000-Monday-0-Sunday-48</t>
  </si>
  <si>
    <t>20000-Monday-0-Sunday-49</t>
  </si>
  <si>
    <t>20000-Monday-0-Sunday-50</t>
  </si>
  <si>
    <t>20000-Monday-0-Sunday-51</t>
  </si>
  <si>
    <t>20000-Monday-0-Sunday-52</t>
  </si>
  <si>
    <t>20000-Monday-0-Sunday-53</t>
  </si>
  <si>
    <t>20000-Monday-0-Sunday-54</t>
  </si>
  <si>
    <t>20000-Monday-0-Sunday-55</t>
  </si>
  <si>
    <t>20000-Monday-0-Sunday-56</t>
  </si>
  <si>
    <t>20000-Monday-0-Sunday-57</t>
  </si>
  <si>
    <t>20000-Monday-0-Sunday-58</t>
  </si>
  <si>
    <t>20000-Monday-0-Sunday-59</t>
  </si>
  <si>
    <t>20000-Monday-0-Sunday-60</t>
  </si>
  <si>
    <t>20000-Monday-0-Sunday-61</t>
  </si>
  <si>
    <t>20000-Monday-0-Sunday-62</t>
  </si>
  <si>
    <t>Here we used a built in function in excel called Text to Columns</t>
  </si>
  <si>
    <t>Column1</t>
  </si>
  <si>
    <t>Column2</t>
  </si>
  <si>
    <t>Column3</t>
  </si>
  <si>
    <t>Column4</t>
  </si>
  <si>
    <t>Column5</t>
  </si>
  <si>
    <t>Column6</t>
  </si>
  <si>
    <t>Column7</t>
  </si>
  <si>
    <t>Column8</t>
  </si>
  <si>
    <t>Column9</t>
  </si>
  <si>
    <t>There is a built in function in excel called Text to Columns,using this function we can split any text and place it in different cells.In this case the words were splitted by '-' so we used that symbol for putting the corresponding words to columns</t>
  </si>
  <si>
    <t>SUM(IFERROR</t>
  </si>
  <si>
    <t>Here we used the formula SUMIFERROR.By using this formula we can replace the error value with the corresponding value we give in the formula here we gave the value as 20</t>
  </si>
  <si>
    <t>XLOOKUP</t>
  </si>
  <si>
    <t>for using XLOOKUP function we have to convert Table A and Table B into tables and and use the formula =XLOOKUP(A23 &amp; B23, Table_B[ID] &amp; Table_B[Name], INDEX(Table_A, 0,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</si>
</sst>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8"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8" fontId="7" fillId="0" borderId="0" xfId="0" applyNumberFormat="1" applyFont="1"/>
    <xf numFmtId="168" fontId="3" fillId="0" borderId="0" xfId="0" applyNumberFormat="1" applyFont="1"/>
    <xf numFmtId="0" fontId="8" fillId="0" borderId="12" xfId="0" applyFont="1" applyBorder="1"/>
    <xf numFmtId="0" fontId="7" fillId="0" borderId="6" xfId="0" applyFont="1" applyBorder="1"/>
    <xf numFmtId="0" fontId="7" fillId="0" borderId="4" xfId="0" applyFont="1" applyBorder="1"/>
    <xf numFmtId="0" fontId="9" fillId="0" borderId="11" xfId="0" applyFont="1" applyBorder="1"/>
    <xf numFmtId="0" fontId="9" fillId="0" borderId="6" xfId="0" applyFont="1" applyBorder="1"/>
    <xf numFmtId="0" fontId="9" fillId="0" borderId="8" xfId="0" applyFont="1" applyBorder="1"/>
    <xf numFmtId="0" fontId="9" fillId="0" borderId="4" xfId="0" applyFont="1" applyBorder="1"/>
    <xf numFmtId="0" fontId="9" fillId="0" borderId="14" xfId="0" applyFont="1" applyBorder="1"/>
    <xf numFmtId="0" fontId="8" fillId="0" borderId="13" xfId="0" applyFont="1" applyBorder="1"/>
    <xf numFmtId="0" fontId="12" fillId="0" borderId="0" xfId="0" applyNumberFormat="1" applyFont="1" applyFill="1" applyBorder="1" applyAlignment="1" applyProtection="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26">
    <dxf>
      <font>
        <b/>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top/>
        <bottom/>
        <vertical/>
        <horizontal/>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bottom/>
        <vertical/>
        <horizontal/>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rgb="FF000000"/>
        <name val="Calibri"/>
        <family val="2"/>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000000"/>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color rgb="FFC00000"/>
      </font>
    </dxf>
    <dxf>
      <font>
        <color theme="9"/>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25"/>
      <tableStyleElement type="headerRow" dxfId="2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1</xdr:col>
      <xdr:colOff>4450081</xdr:colOff>
      <xdr:row>3</xdr:row>
      <xdr:rowOff>152400</xdr:rowOff>
    </xdr:from>
    <xdr:ext cx="2156459" cy="251460"/>
    <xdr:sp macro="" textlink="">
      <xdr:nvSpPr>
        <xdr:cNvPr id="2" name="TextBox 1">
          <a:extLst>
            <a:ext uri="{FF2B5EF4-FFF2-40B4-BE49-F238E27FC236}">
              <a16:creationId xmlns:a16="http://schemas.microsoft.com/office/drawing/2014/main" id="{BB393033-CA56-4C5A-A54D-F859DFBC7C72}"/>
            </a:ext>
          </a:extLst>
        </xdr:cNvPr>
        <xdr:cNvSpPr txBox="1"/>
      </xdr:nvSpPr>
      <xdr:spPr>
        <a:xfrm>
          <a:off x="5029201" y="701040"/>
          <a:ext cx="2156459" cy="2514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=SUMIFS(H2:H40, H2:H40, "&gt;20")</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98A3352-0DFE-4BAA-B79A-04499923D5CF}" name="Table_A" displayName="Table_A" ref="A9:J18" totalsRowShown="0" headerRowDxfId="5" dataDxfId="6" headerRowBorderDxfId="18" tableBorderDxfId="19" totalsRowBorderDxfId="17">
  <autoFilter ref="A9:J18" xr:uid="{798A3352-0DFE-4BAA-B79A-04499923D5CF}"/>
  <tableColumns count="10">
    <tableColumn id="1" xr3:uid="{CE486694-FEC4-48DD-96CE-FE5FF7485F4C}" name="Column1" dataDxfId="16"/>
    <tableColumn id="2" xr3:uid="{0B2B2F51-EC2D-418F-8274-074C8460D9A3}" name="A" dataDxfId="15"/>
    <tableColumn id="3" xr3:uid="{1CE8179A-46B4-4C47-8FC4-011DD1DBB822}" name="B" dataDxfId="14"/>
    <tableColumn id="4" xr3:uid="{D07A8738-4192-4F6F-8898-8BD8DDCB3AD9}" name="C" dataDxfId="13"/>
    <tableColumn id="5" xr3:uid="{14605073-1A81-447E-87FB-274C21CFD7A3}" name="D" dataDxfId="12"/>
    <tableColumn id="6" xr3:uid="{6C852BA0-1E0A-4BE7-907D-90102A81D0B9}" name="E" dataDxfId="11"/>
    <tableColumn id="7" xr3:uid="{7DC4C7ED-75F4-4420-928A-2124284EA28C}" name="F" dataDxfId="10"/>
    <tableColumn id="8" xr3:uid="{12ACD3C9-B5D3-422E-A02A-BAFCD22D8898}" name="G" dataDxfId="9"/>
    <tableColumn id="9" xr3:uid="{A8D6E624-194F-46EE-A1FE-33AF3A7602C3}" name="H" dataDxfId="8"/>
    <tableColumn id="10" xr3:uid="{163B7D71-745B-4A34-973A-52AF1907CAB7}" name="I"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EEE0840-FB7C-4BEE-8F3A-740DE06F22A1}" name="Table_B" displayName="Table_B" ref="M9:N18" totalsRowShown="0" headerRowDxfId="0" headerRowBorderDxfId="3" tableBorderDxfId="4">
  <autoFilter ref="M9:N18" xr:uid="{4EEE0840-FB7C-4BEE-8F3A-740DE06F22A1}"/>
  <tableColumns count="2">
    <tableColumn id="1" xr3:uid="{7D21070C-FF06-45F1-8D5F-0D70E4BF99E4}" name="ID" dataDxfId="2"/>
    <tableColumn id="2" xr3:uid="{0A711B7D-08FC-467E-9BE9-2AE95312D193}" name="Name"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9" t="s">
        <v>108</v>
      </c>
    </row>
    <row r="2" spans="1:3" x14ac:dyDescent="0.3">
      <c r="A2" s="2" t="s">
        <v>109</v>
      </c>
    </row>
    <row r="3" spans="1:3" x14ac:dyDescent="0.3">
      <c r="A3" s="2" t="s">
        <v>110</v>
      </c>
    </row>
    <row r="4" spans="1:3" ht="14.4" x14ac:dyDescent="0.3">
      <c r="A4" s="2" t="s">
        <v>111</v>
      </c>
      <c r="C4" s="1"/>
    </row>
    <row r="5" spans="1:3" x14ac:dyDescent="0.3">
      <c r="A5" s="2" t="s">
        <v>114</v>
      </c>
    </row>
    <row r="8" spans="1:3" x14ac:dyDescent="0.3">
      <c r="A8" s="2" t="s">
        <v>135</v>
      </c>
    </row>
    <row r="9" spans="1:3" x14ac:dyDescent="0.3">
      <c r="A9" s="36" t="s">
        <v>133</v>
      </c>
      <c r="B9" s="26" t="s">
        <v>131</v>
      </c>
    </row>
    <row r="10" spans="1:3" x14ac:dyDescent="0.3">
      <c r="A10" s="35" t="s">
        <v>134</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132</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zoomScaleNormal="100" workbookViewId="0">
      <pane ySplit="1" topLeftCell="A2" activePane="bottomLeft" state="frozen"/>
      <selection pane="bottomLeft" activeCell="T2" sqref="T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6" bestFit="1" customWidth="1"/>
    <col min="25" max="16384" width="9" style="1"/>
  </cols>
  <sheetData>
    <row r="1" spans="1:24" s="3" customFormat="1" ht="14.7" customHeight="1" x14ac:dyDescent="0.3">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5" t="s">
        <v>105</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6">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6">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6">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6">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6">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6">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6">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6">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6">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6">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6">
        <v>45116</v>
      </c>
    </row>
    <row r="13" spans="1:24" x14ac:dyDescent="0.3">
      <c r="A13" s="1" t="s">
        <v>16</v>
      </c>
      <c r="B13" s="1">
        <v>20022</v>
      </c>
      <c r="C13" s="1" t="s">
        <v>5</v>
      </c>
      <c r="D13" s="24">
        <v>0</v>
      </c>
      <c r="E13" s="1" t="s">
        <v>6</v>
      </c>
      <c r="F13" s="24">
        <v>0.99998842592592596</v>
      </c>
      <c r="G13" s="1">
        <f ca="1">SUMIFS(H2:H100, G2:G100, "car2", H2:H100, "&gt;20")</f>
        <v>0</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6">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6">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6">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6">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6">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6">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6">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6">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6">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6">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6">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6">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6">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6">
        <v>45142</v>
      </c>
    </row>
    <row r="27" spans="1:2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6">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6">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6">
        <v>45153</v>
      </c>
    </row>
    <row r="30" spans="1:2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6">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6">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6">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6">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6">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6">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6">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6">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6">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6">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6">
        <v>45162</v>
      </c>
    </row>
  </sheetData>
  <conditionalFormatting sqref="A1:A1048576">
    <cfRule type="duplicateValues" dxfId="23" priority="4"/>
  </conditionalFormatting>
  <conditionalFormatting sqref="B1:B1048576">
    <cfRule type="duplicateValues" dxfId="22" priority="3"/>
  </conditionalFormatting>
  <conditionalFormatting sqref="A1:XFD1048576">
    <cfRule type="cellIs" dxfId="21" priority="1" operator="equal">
      <formula>0</formula>
    </cfRule>
    <cfRule type="cellIs" dxfId="2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G12" sqref="G12"/>
    </sheetView>
  </sheetViews>
  <sheetFormatPr defaultColWidth="11" defaultRowHeight="14.4" x14ac:dyDescent="0.3"/>
  <cols>
    <col min="1" max="1" width="8.44140625" style="1" bestFit="1" customWidth="1"/>
    <col min="2" max="2" width="65.77734375" style="1" bestFit="1" customWidth="1"/>
    <col min="3" max="3" width="32.5546875" style="1" customWidth="1"/>
    <col min="4" max="4" width="11" style="1"/>
    <col min="5" max="5" width="14.44140625" style="1" bestFit="1" customWidth="1"/>
    <col min="6" max="16384" width="11" style="1"/>
  </cols>
  <sheetData>
    <row r="1" spans="1:5" x14ac:dyDescent="0.3">
      <c r="A1" s="4" t="s">
        <v>47</v>
      </c>
      <c r="B1" s="4" t="s">
        <v>48</v>
      </c>
      <c r="C1" s="4" t="s">
        <v>44</v>
      </c>
      <c r="E1" s="4" t="s">
        <v>138</v>
      </c>
    </row>
    <row r="2" spans="1:5" x14ac:dyDescent="0.3">
      <c r="A2" s="2"/>
      <c r="B2" s="5" t="s">
        <v>122</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4"/>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7" zoomScaleNormal="100" workbookViewId="0">
      <selection activeCell="I20" sqref="I20"/>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1" customFormat="1" ht="21" x14ac:dyDescent="0.4">
      <c r="A1" s="42" t="s">
        <v>55</v>
      </c>
      <c r="B1" s="41" t="s">
        <v>126</v>
      </c>
    </row>
    <row r="2" spans="1:7" s="41" customFormat="1" ht="21" x14ac:dyDescent="0.4">
      <c r="B2" s="41" t="s">
        <v>123</v>
      </c>
    </row>
    <row r="3" spans="1:7" ht="14.4" x14ac:dyDescent="0.3">
      <c r="A3" s="1"/>
      <c r="B3" s="1"/>
      <c r="C3" s="1"/>
      <c r="D3" s="1"/>
      <c r="E3" s="1"/>
      <c r="F3" s="1"/>
      <c r="G3" s="1"/>
    </row>
    <row r="4" spans="1:7" ht="23.4" x14ac:dyDescent="0.45">
      <c r="A4" s="18" t="s">
        <v>124</v>
      </c>
      <c r="B4" s="1"/>
      <c r="C4" s="1"/>
      <c r="D4" s="1"/>
      <c r="E4" s="1"/>
      <c r="F4" s="1"/>
      <c r="G4" s="1"/>
    </row>
    <row r="5" spans="1:7" ht="14.4" x14ac:dyDescent="0.3">
      <c r="A5" s="20" t="s">
        <v>64</v>
      </c>
      <c r="B5" s="21" t="s">
        <v>79</v>
      </c>
      <c r="C5" s="22" t="s">
        <v>71</v>
      </c>
      <c r="D5" s="21" t="s">
        <v>75</v>
      </c>
      <c r="E5" s="22" t="s">
        <v>76</v>
      </c>
      <c r="F5" s="23" t="s">
        <v>77</v>
      </c>
    </row>
    <row r="6" spans="1:7" ht="14.4" x14ac:dyDescent="0.3">
      <c r="A6" s="7" t="s">
        <v>40</v>
      </c>
      <c r="B6" s="12">
        <f>VLOOKUP(A6,Dataset!A2:V40,7,FALSE)</f>
        <v>2.7</v>
      </c>
      <c r="C6" s="12">
        <f>VLOOKUP(A6,Dataset!A2:V40,14,FALSE)</f>
        <v>7.6</v>
      </c>
      <c r="D6" s="12">
        <f>VLOOKUP(A6,Dataset!A2:V40,17,FALSE)</f>
        <v>3.6</v>
      </c>
      <c r="E6" s="12">
        <f>VLOOKUP(A6,Dataset!A2:V40,20,FALSE)</f>
        <v>8.9</v>
      </c>
      <c r="F6" s="2">
        <f>VLOOKUP(A6,Dataset!A2:V40,22,FALSE)</f>
        <v>4.2</v>
      </c>
    </row>
    <row r="7" spans="1:7" ht="14.4" x14ac:dyDescent="0.3">
      <c r="A7" s="7" t="s">
        <v>4</v>
      </c>
      <c r="B7" s="12">
        <f>VLOOKUP(A7,Dataset!A3:V41,7,FALSE)</f>
        <v>2.7</v>
      </c>
      <c r="C7" s="12">
        <f>VLOOKUP(A7,Dataset!A3:V41,14,FALSE)</f>
        <v>7.6</v>
      </c>
      <c r="D7" s="12">
        <f>VLOOKUP(A7,Dataset!A3:V41,17,FALSE)</f>
        <v>3.6</v>
      </c>
      <c r="E7" s="12">
        <f>VLOOKUP(A7,Dataset!A3:V41,20,FALSE)</f>
        <v>8.9</v>
      </c>
      <c r="F7" s="2">
        <f>VLOOKUP(A7,Dataset!A3:V41,22,FALSE)</f>
        <v>4.2</v>
      </c>
    </row>
    <row r="8" spans="1:7" ht="14.4" x14ac:dyDescent="0.3">
      <c r="A8" s="7" t="s">
        <v>7</v>
      </c>
      <c r="B8" s="12">
        <f>VLOOKUP(A8,Dataset!A4:V42,7,FALSE)</f>
        <v>3.6</v>
      </c>
      <c r="C8" s="12">
        <f>VLOOKUP(A8,Dataset!A4:V42,14,FALSE)</f>
        <v>11.1</v>
      </c>
      <c r="D8" s="12">
        <f>VLOOKUP(A8,Dataset!A4:V42,17,FALSE)</f>
        <v>5.4</v>
      </c>
      <c r="E8" s="12">
        <f>VLOOKUP(A8,Dataset!A4:V42,20,FALSE)</f>
        <v>12.2</v>
      </c>
      <c r="F8" s="2">
        <f>VLOOKUP(A8,Dataset!A4:V42,22,FALSE)</f>
        <v>5.8</v>
      </c>
    </row>
    <row r="9" spans="1:7" ht="14.4" x14ac:dyDescent="0.3">
      <c r="A9" s="7" t="s">
        <v>8</v>
      </c>
      <c r="B9" s="12">
        <f>VLOOKUP(A9,Dataset!A5:V43,7,FALSE)</f>
        <v>4.9000000000000004</v>
      </c>
      <c r="C9" s="12">
        <f>VLOOKUP(A9,Dataset!A5:V43,14,FALSE)</f>
        <v>13.3</v>
      </c>
      <c r="D9" s="12">
        <f>VLOOKUP(A9,Dataset!A5:V43,17,FALSE)</f>
        <v>6.6</v>
      </c>
      <c r="E9" s="12">
        <f>VLOOKUP(A9,Dataset!A5:V43,20,FALSE)</f>
        <v>17</v>
      </c>
      <c r="F9" s="2">
        <f>VLOOKUP(A9,Dataset!A5:V43,22,FALSE)</f>
        <v>8.1</v>
      </c>
    </row>
    <row r="10" spans="1:7" ht="14.4" x14ac:dyDescent="0.3">
      <c r="A10" s="7" t="s">
        <v>11</v>
      </c>
      <c r="B10" s="12">
        <f>VLOOKUP(A10,Dataset!A6:V44,7,FALSE)</f>
        <v>9.4</v>
      </c>
      <c r="C10" s="12">
        <f>VLOOKUP(A10,Dataset!A6:V44,14,FALSE)</f>
        <v>28.3</v>
      </c>
      <c r="D10" s="12">
        <f>VLOOKUP(A10,Dataset!A6:V44,17,FALSE)</f>
        <v>13.8</v>
      </c>
      <c r="E10" s="12">
        <f>VLOOKUP(A10,Dataset!A6:V44,20,FALSE)</f>
        <v>32.799999999999997</v>
      </c>
      <c r="F10" s="2">
        <f>VLOOKUP(A10,Dataset!A6:V44,22,FALSE)</f>
        <v>16.100000000000001</v>
      </c>
    </row>
    <row r="11" spans="1:7" ht="14.4" x14ac:dyDescent="0.3">
      <c r="A11" s="7" t="s">
        <v>12</v>
      </c>
      <c r="B11" s="12">
        <f>VLOOKUP(A11,Dataset!A7:V45,7,FALSE)</f>
        <v>11.6</v>
      </c>
      <c r="C11" s="12">
        <f>VLOOKUP(A11,Dataset!A7:V45,14,FALSE)</f>
        <v>35.200000000000003</v>
      </c>
      <c r="D11" s="12">
        <f>VLOOKUP(A11,Dataset!A7:V45,17,FALSE)</f>
        <v>17.3</v>
      </c>
      <c r="E11" s="12">
        <f>VLOOKUP(A11,Dataset!A7:V45,20,FALSE)</f>
        <v>43</v>
      </c>
      <c r="F11" s="2">
        <f>VLOOKUP(A11,Dataset!A7:V45,22,FALSE)</f>
        <v>21.3</v>
      </c>
    </row>
    <row r="12" spans="1:7" ht="14.4" x14ac:dyDescent="0.3">
      <c r="A12" s="7" t="s">
        <v>14</v>
      </c>
      <c r="B12" s="12">
        <f>VLOOKUP(A12,Dataset!A8:V46,7,FALSE)</f>
        <v>18.399999999999999</v>
      </c>
      <c r="C12" s="12">
        <f>VLOOKUP(A12,Dataset!A8:V46,14,FALSE)</f>
        <v>55.6</v>
      </c>
      <c r="D12" s="12">
        <f>VLOOKUP(A12,Dataset!A8:V46,17,FALSE)</f>
        <v>27.5</v>
      </c>
      <c r="E12" s="12">
        <f>VLOOKUP(A12,Dataset!A8:V46,20,FALSE)</f>
        <v>67.900000000000006</v>
      </c>
      <c r="F12" s="2">
        <f>VLOOKUP(A12,Dataset!A8:V46,22,FALSE)</f>
        <v>33.799999999999997</v>
      </c>
    </row>
    <row r="13" spans="1:7" ht="14.4" x14ac:dyDescent="0.3">
      <c r="A13" s="7" t="s">
        <v>15</v>
      </c>
      <c r="B13" s="12">
        <f>VLOOKUP(A13,Dataset!A9:V47,7,FALSE)</f>
        <v>0</v>
      </c>
      <c r="C13" s="12">
        <f>VLOOKUP(A13,Dataset!A9:V47,14,FALSE)</f>
        <v>0</v>
      </c>
      <c r="D13" s="12">
        <f>VLOOKUP(A13,Dataset!A9:V47,17,FALSE)</f>
        <v>0</v>
      </c>
      <c r="E13" s="12">
        <f>VLOOKUP(A13,Dataset!A9:V47,20,FALSE)</f>
        <v>0</v>
      </c>
      <c r="F13" s="2">
        <f>VLOOKUP(A13,Dataset!A9:V47,22,FALSE)</f>
        <v>0</v>
      </c>
    </row>
    <row r="14" spans="1:7" ht="14.4" x14ac:dyDescent="0.3">
      <c r="A14" s="7" t="s">
        <v>16</v>
      </c>
      <c r="B14" s="12">
        <f ca="1">VLOOKUP(A14,Dataset!A10:V48,7,FALSE)</f>
        <v>2.7</v>
      </c>
      <c r="C14" s="12">
        <f>VLOOKUP(A14,Dataset!A10:V48,14,FALSE)</f>
        <v>61.5</v>
      </c>
      <c r="D14" s="12">
        <f>VLOOKUP(A14,Dataset!A10:V48,17,FALSE)</f>
        <v>32.1</v>
      </c>
      <c r="E14" s="12">
        <f>VLOOKUP(A14,Dataset!A10:V48,20,FALSE)</f>
        <v>76.599999999999994</v>
      </c>
      <c r="F14" s="2">
        <f>VLOOKUP(A14,Dataset!A10:V48,22,FALSE)</f>
        <v>40.1</v>
      </c>
    </row>
    <row r="15" spans="1:7" ht="14.4" x14ac:dyDescent="0.3">
      <c r="A15" s="7" t="s">
        <v>18</v>
      </c>
      <c r="B15" s="12">
        <f>VLOOKUP(A15,Dataset!A11:V49,7,FALSE)</f>
        <v>26.8</v>
      </c>
      <c r="C15" s="12">
        <f>VLOOKUP(A15,Dataset!A11:V49,14,FALSE)</f>
        <v>79.599999999999994</v>
      </c>
      <c r="D15" s="12">
        <f>VLOOKUP(A15,Dataset!A11:V49,17,FALSE)</f>
        <v>39.299999999999997</v>
      </c>
      <c r="E15" s="12">
        <f>VLOOKUP(A15,Dataset!A11:V49,20,FALSE)</f>
        <v>96.8</v>
      </c>
      <c r="F15" s="2">
        <f>VLOOKUP(A15,Dataset!A11:V49,22,FALSE)</f>
        <v>47.9</v>
      </c>
    </row>
    <row r="16" spans="1:7" ht="14.4" x14ac:dyDescent="0.3">
      <c r="A16" s="7" t="s">
        <v>20</v>
      </c>
      <c r="B16" s="12">
        <f>VLOOKUP(A16,Dataset!A12:V50,7,FALSE)</f>
        <v>28.5</v>
      </c>
      <c r="C16" s="12">
        <f>VLOOKUP(A16,Dataset!A12:V50,14,FALSE)</f>
        <v>85.4</v>
      </c>
      <c r="D16" s="12">
        <f>VLOOKUP(A16,Dataset!A12:V50,17,FALSE)</f>
        <v>42.3</v>
      </c>
      <c r="E16" s="12">
        <f>VLOOKUP(A16,Dataset!A12:V50,20,FALSE)</f>
        <v>106.1</v>
      </c>
      <c r="F16" s="2">
        <f>VLOOKUP(A16,Dataset!A12:V50,22,FALSE)</f>
        <v>52.3</v>
      </c>
    </row>
    <row r="17" spans="1:6" ht="14.4" x14ac:dyDescent="0.3">
      <c r="A17" s="7" t="s">
        <v>22</v>
      </c>
      <c r="B17" s="12">
        <f>VLOOKUP(A17,Dataset!A13:V51,7,FALSE)</f>
        <v>30.7</v>
      </c>
      <c r="C17" s="12">
        <f>VLOOKUP(A17,Dataset!A13:V51,14,FALSE)</f>
        <v>92.1</v>
      </c>
      <c r="D17" s="12">
        <f>VLOOKUP(A17,Dataset!A13:V51,17,FALSE)</f>
        <v>45.5</v>
      </c>
      <c r="E17" s="12">
        <f>VLOOKUP(A17,Dataset!A13:V51,20,FALSE)</f>
        <v>115.1</v>
      </c>
      <c r="F17" s="2">
        <f>VLOOKUP(A17,Dataset!A13:V51,22,FALSE)</f>
        <v>57</v>
      </c>
    </row>
    <row r="18" spans="1:6" ht="14.4" x14ac:dyDescent="0.3">
      <c r="A18" s="7" t="s">
        <v>23</v>
      </c>
      <c r="B18" s="12">
        <f>VLOOKUP(A18,Dataset!A14:V52,7,FALSE)</f>
        <v>33.799999999999997</v>
      </c>
      <c r="C18" s="12">
        <f>VLOOKUP(A18,Dataset!A14:V52,14,FALSE)</f>
        <v>101.3</v>
      </c>
      <c r="D18" s="12">
        <f>VLOOKUP(A18,Dataset!A14:V52,17,FALSE)</f>
        <v>50.1</v>
      </c>
      <c r="E18" s="12">
        <f>VLOOKUP(A18,Dataset!A14:V52,20,FALSE)</f>
        <v>124.4</v>
      </c>
      <c r="F18" s="2">
        <f>VLOOKUP(A18,Dataset!A14:V52,22,FALSE)</f>
        <v>61.4</v>
      </c>
    </row>
    <row r="19" spans="1:6" ht="14.4" x14ac:dyDescent="0.3">
      <c r="A19" s="7" t="s">
        <v>24</v>
      </c>
      <c r="B19" s="12">
        <f>VLOOKUP(A19,Dataset!A15:V53,7,FALSE)</f>
        <v>34.700000000000003</v>
      </c>
      <c r="C19" s="12">
        <f>VLOOKUP(A19,Dataset!A15:V53,14,FALSE)</f>
        <v>106.1</v>
      </c>
      <c r="D19" s="12">
        <f>VLOOKUP(A19,Dataset!A15:V53,17,FALSE)</f>
        <v>52.3</v>
      </c>
      <c r="E19" s="12">
        <f>VLOOKUP(A19,Dataset!A15:V53,20,FALSE)</f>
        <v>128.6</v>
      </c>
      <c r="F19" s="2">
        <f>VLOOKUP(A19,Dataset!A15:V53,22,FALSE)</f>
        <v>63.6</v>
      </c>
    </row>
    <row r="20" spans="1:6" ht="14.4" x14ac:dyDescent="0.3">
      <c r="A20" s="7" t="s">
        <v>28</v>
      </c>
      <c r="B20" s="12">
        <f>VLOOKUP(A20,Dataset!A16:V54,7,FALSE)</f>
        <v>0</v>
      </c>
      <c r="C20" s="12">
        <f>VLOOKUP(A20,Dataset!A16:V54,14,FALSE)</f>
        <v>0</v>
      </c>
      <c r="D20" s="12">
        <f>VLOOKUP(A20,Dataset!A16:V54,17,FALSE)</f>
        <v>0</v>
      </c>
      <c r="E20" s="12">
        <f>VLOOKUP(A20,Dataset!A16:V54,20,FALSE)</f>
        <v>0</v>
      </c>
      <c r="F20" s="2">
        <f>VLOOKUP(A20,Dataset!A16:V54,22,FALSE)</f>
        <v>0</v>
      </c>
    </row>
    <row r="21" spans="1:6" ht="14.4" x14ac:dyDescent="0.3">
      <c r="A21" s="7" t="s">
        <v>57</v>
      </c>
      <c r="B21" s="12">
        <f>VLOOKUP(A21,Dataset!A17:V55,7,FALSE)</f>
        <v>41.3</v>
      </c>
      <c r="C21" s="12">
        <f>VLOOKUP(A21,Dataset!A17:V55,14,FALSE)</f>
        <v>124.4</v>
      </c>
      <c r="D21" s="12">
        <f>VLOOKUP(A21,Dataset!A17:V55,17,FALSE)</f>
        <v>61.4</v>
      </c>
      <c r="E21" s="12">
        <f>VLOOKUP(A21,Dataset!A17:V55,20,FALSE)</f>
        <v>151.5</v>
      </c>
      <c r="F21" s="2">
        <f>VLOOKUP(A21,Dataset!A17:V55,22,FALSE)</f>
        <v>75</v>
      </c>
    </row>
    <row r="22" spans="1:6" ht="14.4" x14ac:dyDescent="0.3">
      <c r="A22" s="7" t="s">
        <v>58</v>
      </c>
      <c r="B22" s="12">
        <f>VLOOKUP(A22,Dataset!A18:V56,7,FALSE)</f>
        <v>-1</v>
      </c>
      <c r="C22" s="12">
        <f>VLOOKUP(A22,Dataset!A18:V56,14,FALSE)</f>
        <v>-1</v>
      </c>
      <c r="D22" s="12">
        <f>VLOOKUP(A22,Dataset!A18:V56,17,FALSE)</f>
        <v>-1</v>
      </c>
      <c r="E22" s="12">
        <f>VLOOKUP(A22,Dataset!A18:V56,20,FALSE)</f>
        <v>-1</v>
      </c>
      <c r="F22" s="2">
        <f>VLOOKUP(A22,Dataset!A18:V56,22,FALSE)</f>
        <v>-1</v>
      </c>
    </row>
    <row r="23" spans="1:6" ht="14.4" x14ac:dyDescent="0.3">
      <c r="A23" s="7" t="s">
        <v>31</v>
      </c>
      <c r="B23" s="12">
        <f>VLOOKUP(A23,Dataset!A19:V57,7,FALSE)</f>
        <v>45</v>
      </c>
      <c r="C23" s="12">
        <f>VLOOKUP(A23,Dataset!A19:V57,14,FALSE)</f>
        <v>133.4</v>
      </c>
      <c r="D23" s="12">
        <f>VLOOKUP(A23,Dataset!A19:V57,17,FALSE)</f>
        <v>65.900000000000006</v>
      </c>
      <c r="E23" s="12">
        <f>VLOOKUP(A23,Dataset!A19:V57,20,FALSE)</f>
        <v>160.9</v>
      </c>
      <c r="F23" s="2">
        <f>VLOOKUP(A23,Dataset!A19:V57,22,FALSE)</f>
        <v>79.400000000000006</v>
      </c>
    </row>
    <row r="24" spans="1:6" ht="14.4" x14ac:dyDescent="0.3">
      <c r="A24" s="7" t="s">
        <v>32</v>
      </c>
      <c r="B24" s="12">
        <f>VLOOKUP(A24,Dataset!A20:V58,7,FALSE)</f>
        <v>-1</v>
      </c>
      <c r="C24" s="12">
        <f>VLOOKUP(A24,Dataset!A20:V58,14,FALSE)</f>
        <v>-1</v>
      </c>
      <c r="D24" s="12">
        <f>VLOOKUP(A24,Dataset!A20:V58,17,FALSE)</f>
        <v>-1</v>
      </c>
      <c r="E24" s="12">
        <f>VLOOKUP(A24,Dataset!A20:V58,20,FALSE)</f>
        <v>-1</v>
      </c>
      <c r="F24" s="2">
        <f>VLOOKUP(A24,Dataset!A20:V58,22,FALSE)</f>
        <v>-1</v>
      </c>
    </row>
    <row r="25" spans="1:6" ht="14.4" x14ac:dyDescent="0.3">
      <c r="A25" s="7" t="s">
        <v>34</v>
      </c>
      <c r="B25" s="12">
        <f>VLOOKUP(A25,Dataset!A21:V59,7,FALSE)</f>
        <v>43.3</v>
      </c>
      <c r="C25" s="12">
        <f>VLOOKUP(A25,Dataset!A21:V59,14,FALSE)</f>
        <v>128.6</v>
      </c>
      <c r="D25" s="12">
        <f>VLOOKUP(A25,Dataset!A21:V59,17,FALSE)</f>
        <v>63.6</v>
      </c>
      <c r="E25" s="12">
        <f>VLOOKUP(A25,Dataset!A21:V59,20,FALSE)</f>
        <v>160.9</v>
      </c>
      <c r="F25" s="2">
        <f>VLOOKUP(A25,Dataset!A21:V59,22,FALSE)</f>
        <v>79.400000000000006</v>
      </c>
    </row>
    <row r="26" spans="1:6" ht="14.4" x14ac:dyDescent="0.3">
      <c r="A26" s="7" t="s">
        <v>37</v>
      </c>
      <c r="B26" s="12">
        <f>VLOOKUP(A26,Dataset!A22:V60,7,FALSE)</f>
        <v>49.1</v>
      </c>
      <c r="C26" s="12">
        <f>VLOOKUP(A26,Dataset!A22:V60,14,FALSE)</f>
        <v>146.80000000000001</v>
      </c>
      <c r="D26" s="12">
        <f>VLOOKUP(A26,Dataset!A22:V60,17,FALSE)</f>
        <v>72.8</v>
      </c>
      <c r="E26" s="12">
        <f>VLOOKUP(A26,Dataset!A22:V60,20,FALSE)</f>
        <v>183.5</v>
      </c>
      <c r="F26" s="2">
        <f>VLOOKUP(A26,Dataset!A22:V60,22,FALSE)</f>
        <v>90.9</v>
      </c>
    </row>
    <row r="27" spans="1:6" ht="14.4" x14ac:dyDescent="0.3">
      <c r="A27" s="7" t="s">
        <v>39</v>
      </c>
      <c r="B27" s="12">
        <f>VLOOKUP(A27,Dataset!A23:V61,7,FALSE)</f>
        <v>51.8</v>
      </c>
      <c r="C27" s="12">
        <f>VLOOKUP(A27,Dataset!A23:V61,14,FALSE)</f>
        <v>156.4</v>
      </c>
      <c r="D27" s="12">
        <f>VLOOKUP(A27,Dataset!A23:V61,17,FALSE)</f>
        <v>77.2</v>
      </c>
      <c r="E27" s="12">
        <f>VLOOKUP(A27,Dataset!A23:V61,20,FALSE)</f>
        <v>188.1</v>
      </c>
      <c r="F27" s="2">
        <f>VLOOKUP(A27,Dataset!A23:V61,22,FALSE)</f>
        <v>93.1</v>
      </c>
    </row>
    <row r="28" spans="1:6" ht="14.4" x14ac:dyDescent="0.3">
      <c r="A28" s="19" t="s">
        <v>82</v>
      </c>
      <c r="B28" s="31">
        <v>-1</v>
      </c>
      <c r="C28" s="31">
        <f>MIN(C6:C27)</f>
        <v>-1</v>
      </c>
      <c r="D28" s="31">
        <f>MIN(D6:D27)</f>
        <v>-1</v>
      </c>
      <c r="E28" s="31">
        <f>MIN(E6:E27)</f>
        <v>-1</v>
      </c>
      <c r="F28" s="31">
        <f>MIN(F6:F27)</f>
        <v>-1</v>
      </c>
    </row>
    <row r="29" spans="1:6" ht="14.4" x14ac:dyDescent="0.3">
      <c r="A29" s="19" t="s">
        <v>83</v>
      </c>
      <c r="B29" s="31">
        <v>51.8</v>
      </c>
      <c r="C29" s="31">
        <f>MAX(C6:C27)</f>
        <v>156.4</v>
      </c>
      <c r="D29" s="31">
        <f>MAX(D6:D27)</f>
        <v>77.2</v>
      </c>
      <c r="E29" s="31">
        <f>MAX(E6:E27)</f>
        <v>188.1</v>
      </c>
      <c r="F29" s="31"/>
    </row>
    <row r="30" spans="1:6" ht="14.4" x14ac:dyDescent="0.3">
      <c r="A30" s="19" t="s">
        <v>84</v>
      </c>
      <c r="B30" s="31">
        <v>19.954545450000001</v>
      </c>
      <c r="C30" s="31">
        <f>AVERAGE(C6:C27)</f>
        <v>62.377272727272725</v>
      </c>
      <c r="D30" s="31">
        <f>AVERAGE(D6:D27)</f>
        <v>30.831818181818186</v>
      </c>
      <c r="E30" s="31">
        <f>AVERAGE(E6:E27)</f>
        <v>76.418181818181822</v>
      </c>
      <c r="F30" s="31">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B6" sqref="B6"/>
    </sheetView>
  </sheetViews>
  <sheetFormatPr defaultColWidth="11" defaultRowHeight="14.4" x14ac:dyDescent="0.3"/>
  <cols>
    <col min="1" max="1" width="39.77734375" style="1" bestFit="1" customWidth="1"/>
    <col min="2" max="16384" width="11" style="1"/>
  </cols>
  <sheetData>
    <row r="1" spans="1:10" s="41" customFormat="1" ht="21" x14ac:dyDescent="0.4">
      <c r="A1" s="42" t="s">
        <v>56</v>
      </c>
      <c r="B1" s="41" t="s">
        <v>136</v>
      </c>
    </row>
    <row r="2" spans="1:10" customFormat="1" ht="13.2" x14ac:dyDescent="0.25"/>
    <row r="3" spans="1:10" s="2" customFormat="1" x14ac:dyDescent="0.3">
      <c r="B3" s="1"/>
    </row>
    <row r="4" spans="1:10" s="2" customFormat="1" x14ac:dyDescent="0.3">
      <c r="B4" s="1" t="s">
        <v>113</v>
      </c>
    </row>
    <row r="5" spans="1:10" ht="18" x14ac:dyDescent="0.35">
      <c r="A5" s="43" t="s">
        <v>53</v>
      </c>
      <c r="B5" s="40" t="s">
        <v>177</v>
      </c>
    </row>
    <row r="6" spans="1:10" ht="18" x14ac:dyDescent="0.35">
      <c r="A6" s="43" t="s">
        <v>115</v>
      </c>
      <c r="B6" s="40" t="s">
        <v>187</v>
      </c>
    </row>
    <row r="7" spans="1:10" ht="18" x14ac:dyDescent="0.35">
      <c r="A7" s="43"/>
      <c r="B7" s="40"/>
    </row>
    <row r="9" spans="1:10" ht="23.4" x14ac:dyDescent="0.45">
      <c r="A9" s="18" t="s">
        <v>127</v>
      </c>
      <c r="I9" s="2"/>
      <c r="J9" s="2"/>
    </row>
    <row r="10" spans="1:10" x14ac:dyDescent="0.3">
      <c r="A10" s="33" t="s">
        <v>102</v>
      </c>
      <c r="B10" s="17" t="s">
        <v>49</v>
      </c>
      <c r="C10" s="17" t="s">
        <v>50</v>
      </c>
      <c r="D10" s="17" t="s">
        <v>51</v>
      </c>
      <c r="E10" s="17" t="s">
        <v>52</v>
      </c>
      <c r="F10" s="17" t="s">
        <v>54</v>
      </c>
      <c r="I10" s="2"/>
      <c r="J10" s="2"/>
    </row>
    <row r="11" spans="1:10" x14ac:dyDescent="0.3">
      <c r="A11" s="9" t="s">
        <v>112</v>
      </c>
      <c r="B11" s="13">
        <v>20000</v>
      </c>
      <c r="C11" s="13" t="s">
        <v>5</v>
      </c>
      <c r="D11" s="13">
        <v>0</v>
      </c>
      <c r="E11" s="11" t="s">
        <v>6</v>
      </c>
      <c r="F11" s="11">
        <v>24</v>
      </c>
      <c r="I11" s="2"/>
      <c r="J11" s="2"/>
    </row>
    <row r="14" spans="1:10" ht="23.4" x14ac:dyDescent="0.45">
      <c r="A14" s="18" t="s">
        <v>124</v>
      </c>
    </row>
    <row r="15" spans="1:10" x14ac:dyDescent="0.3">
      <c r="A15" s="14" t="s">
        <v>103</v>
      </c>
      <c r="B15" s="17" t="s">
        <v>49</v>
      </c>
      <c r="C15" s="15" t="s">
        <v>50</v>
      </c>
      <c r="D15" s="17" t="s">
        <v>51</v>
      </c>
      <c r="E15" s="15" t="s">
        <v>52</v>
      </c>
      <c r="F15" s="17" t="s">
        <v>54</v>
      </c>
    </row>
    <row r="16" spans="1:10" x14ac:dyDescent="0.3">
      <c r="A16" s="7" t="s">
        <v>112</v>
      </c>
      <c r="B16" s="12">
        <v>20000</v>
      </c>
      <c r="C16" s="1" t="s">
        <v>5</v>
      </c>
      <c r="D16" s="12">
        <v>0</v>
      </c>
      <c r="E16" s="1" t="s">
        <v>6</v>
      </c>
      <c r="F16" s="12">
        <v>24</v>
      </c>
    </row>
    <row r="17" spans="1:6" x14ac:dyDescent="0.3">
      <c r="A17" s="7" t="s">
        <v>139</v>
      </c>
      <c r="B17" s="12">
        <v>20000</v>
      </c>
      <c r="C17" s="1" t="s">
        <v>5</v>
      </c>
      <c r="D17" s="12">
        <v>0</v>
      </c>
      <c r="E17" s="1" t="s">
        <v>6</v>
      </c>
      <c r="F17" s="12">
        <v>25</v>
      </c>
    </row>
    <row r="18" spans="1:6" x14ac:dyDescent="0.3">
      <c r="A18" s="7" t="s">
        <v>140</v>
      </c>
      <c r="B18" s="12">
        <v>20000</v>
      </c>
      <c r="C18" s="1" t="s">
        <v>5</v>
      </c>
      <c r="D18" s="12">
        <v>0</v>
      </c>
      <c r="E18" s="1" t="s">
        <v>6</v>
      </c>
      <c r="F18" s="12">
        <v>26</v>
      </c>
    </row>
    <row r="19" spans="1:6" x14ac:dyDescent="0.3">
      <c r="A19" s="7" t="s">
        <v>141</v>
      </c>
      <c r="B19" s="12">
        <v>20000</v>
      </c>
      <c r="C19" s="1" t="s">
        <v>5</v>
      </c>
      <c r="D19" s="12">
        <v>0</v>
      </c>
      <c r="E19" s="1" t="s">
        <v>6</v>
      </c>
      <c r="F19" s="12">
        <v>27</v>
      </c>
    </row>
    <row r="20" spans="1:6" x14ac:dyDescent="0.3">
      <c r="A20" s="7" t="s">
        <v>142</v>
      </c>
      <c r="B20" s="12">
        <v>20000</v>
      </c>
      <c r="C20" s="1" t="s">
        <v>5</v>
      </c>
      <c r="D20" s="12">
        <v>0</v>
      </c>
      <c r="E20" s="1" t="s">
        <v>6</v>
      </c>
      <c r="F20" s="12">
        <v>28</v>
      </c>
    </row>
    <row r="21" spans="1:6" x14ac:dyDescent="0.3">
      <c r="A21" s="7" t="s">
        <v>143</v>
      </c>
      <c r="B21" s="12">
        <v>20000</v>
      </c>
      <c r="C21" s="1" t="s">
        <v>5</v>
      </c>
      <c r="D21" s="12">
        <v>0</v>
      </c>
      <c r="E21" s="1" t="s">
        <v>6</v>
      </c>
      <c r="F21" s="12">
        <v>29</v>
      </c>
    </row>
    <row r="22" spans="1:6" x14ac:dyDescent="0.3">
      <c r="A22" s="7" t="s">
        <v>144</v>
      </c>
      <c r="B22" s="12">
        <v>20000</v>
      </c>
      <c r="C22" s="1" t="s">
        <v>5</v>
      </c>
      <c r="D22" s="12">
        <v>0</v>
      </c>
      <c r="E22" s="1" t="s">
        <v>6</v>
      </c>
      <c r="F22" s="12">
        <v>30</v>
      </c>
    </row>
    <row r="23" spans="1:6" x14ac:dyDescent="0.3">
      <c r="A23" s="7" t="s">
        <v>145</v>
      </c>
      <c r="B23" s="12">
        <v>20000</v>
      </c>
      <c r="C23" s="1" t="s">
        <v>5</v>
      </c>
      <c r="D23" s="12">
        <v>0</v>
      </c>
      <c r="E23" s="1" t="s">
        <v>6</v>
      </c>
      <c r="F23" s="12">
        <v>31</v>
      </c>
    </row>
    <row r="24" spans="1:6" x14ac:dyDescent="0.3">
      <c r="A24" s="7" t="s">
        <v>146</v>
      </c>
      <c r="B24" s="12">
        <v>20000</v>
      </c>
      <c r="C24" s="1" t="s">
        <v>5</v>
      </c>
      <c r="D24" s="12">
        <v>0</v>
      </c>
      <c r="E24" s="1" t="s">
        <v>6</v>
      </c>
      <c r="F24" s="12">
        <v>32</v>
      </c>
    </row>
    <row r="25" spans="1:6" x14ac:dyDescent="0.3">
      <c r="A25" s="7" t="s">
        <v>147</v>
      </c>
      <c r="B25" s="12">
        <v>20000</v>
      </c>
      <c r="C25" s="1" t="s">
        <v>5</v>
      </c>
      <c r="D25" s="12">
        <v>0</v>
      </c>
      <c r="E25" s="1" t="s">
        <v>6</v>
      </c>
      <c r="F25" s="12">
        <v>33</v>
      </c>
    </row>
    <row r="26" spans="1:6" x14ac:dyDescent="0.3">
      <c r="A26" s="7" t="s">
        <v>148</v>
      </c>
      <c r="B26" s="12">
        <v>20000</v>
      </c>
      <c r="C26" s="1" t="s">
        <v>5</v>
      </c>
      <c r="D26" s="12">
        <v>0</v>
      </c>
      <c r="E26" s="1" t="s">
        <v>6</v>
      </c>
      <c r="F26" s="12">
        <v>34</v>
      </c>
    </row>
    <row r="27" spans="1:6" x14ac:dyDescent="0.3">
      <c r="A27" s="7" t="s">
        <v>149</v>
      </c>
      <c r="B27" s="12">
        <v>20000</v>
      </c>
      <c r="C27" s="1" t="s">
        <v>5</v>
      </c>
      <c r="D27" s="12">
        <v>0</v>
      </c>
      <c r="E27" s="1" t="s">
        <v>6</v>
      </c>
      <c r="F27" s="12">
        <v>35</v>
      </c>
    </row>
    <row r="28" spans="1:6" x14ac:dyDescent="0.3">
      <c r="A28" s="7" t="s">
        <v>150</v>
      </c>
      <c r="B28" s="12">
        <v>20000</v>
      </c>
      <c r="C28" s="1" t="s">
        <v>5</v>
      </c>
      <c r="D28" s="12">
        <v>0</v>
      </c>
      <c r="E28" s="1" t="s">
        <v>6</v>
      </c>
      <c r="F28" s="12">
        <v>36</v>
      </c>
    </row>
    <row r="29" spans="1:6" x14ac:dyDescent="0.3">
      <c r="A29" s="7" t="s">
        <v>151</v>
      </c>
      <c r="B29" s="12">
        <v>20000</v>
      </c>
      <c r="C29" s="1" t="s">
        <v>5</v>
      </c>
      <c r="D29" s="12">
        <v>0</v>
      </c>
      <c r="E29" s="1" t="s">
        <v>6</v>
      </c>
      <c r="F29" s="12">
        <v>37</v>
      </c>
    </row>
    <row r="30" spans="1:6" x14ac:dyDescent="0.3">
      <c r="A30" s="7" t="s">
        <v>152</v>
      </c>
      <c r="B30" s="12">
        <v>20000</v>
      </c>
      <c r="C30" s="1" t="s">
        <v>5</v>
      </c>
      <c r="D30" s="12">
        <v>0</v>
      </c>
      <c r="E30" s="1" t="s">
        <v>6</v>
      </c>
      <c r="F30" s="12">
        <v>38</v>
      </c>
    </row>
    <row r="31" spans="1:6" x14ac:dyDescent="0.3">
      <c r="A31" s="7" t="s">
        <v>153</v>
      </c>
      <c r="B31" s="12">
        <v>20000</v>
      </c>
      <c r="C31" s="1" t="s">
        <v>5</v>
      </c>
      <c r="D31" s="12">
        <v>0</v>
      </c>
      <c r="E31" s="1" t="s">
        <v>6</v>
      </c>
      <c r="F31" s="12">
        <v>39</v>
      </c>
    </row>
    <row r="32" spans="1:6" x14ac:dyDescent="0.3">
      <c r="A32" s="7" t="s">
        <v>154</v>
      </c>
      <c r="B32" s="12">
        <v>20000</v>
      </c>
      <c r="C32" s="1" t="s">
        <v>5</v>
      </c>
      <c r="D32" s="12">
        <v>0</v>
      </c>
      <c r="E32" s="1" t="s">
        <v>6</v>
      </c>
      <c r="F32" s="12">
        <v>40</v>
      </c>
    </row>
    <row r="33" spans="1:6" x14ac:dyDescent="0.3">
      <c r="A33" s="7" t="s">
        <v>155</v>
      </c>
      <c r="B33" s="12">
        <v>20000</v>
      </c>
      <c r="C33" s="1" t="s">
        <v>5</v>
      </c>
      <c r="D33" s="12">
        <v>0</v>
      </c>
      <c r="E33" s="1" t="s">
        <v>6</v>
      </c>
      <c r="F33" s="12">
        <v>41</v>
      </c>
    </row>
    <row r="34" spans="1:6" x14ac:dyDescent="0.3">
      <c r="A34" s="7" t="s">
        <v>156</v>
      </c>
      <c r="B34" s="12">
        <v>20000</v>
      </c>
      <c r="C34" s="1" t="s">
        <v>5</v>
      </c>
      <c r="D34" s="12">
        <v>0</v>
      </c>
      <c r="E34" s="1" t="s">
        <v>6</v>
      </c>
      <c r="F34" s="12">
        <v>42</v>
      </c>
    </row>
    <row r="35" spans="1:6" x14ac:dyDescent="0.3">
      <c r="A35" s="7" t="s">
        <v>157</v>
      </c>
      <c r="B35" s="12">
        <v>20000</v>
      </c>
      <c r="C35" s="1" t="s">
        <v>5</v>
      </c>
      <c r="D35" s="12">
        <v>0</v>
      </c>
      <c r="E35" s="1" t="s">
        <v>6</v>
      </c>
      <c r="F35" s="12">
        <v>43</v>
      </c>
    </row>
    <row r="36" spans="1:6" x14ac:dyDescent="0.3">
      <c r="A36" s="7" t="s">
        <v>158</v>
      </c>
      <c r="B36" s="12">
        <v>20000</v>
      </c>
      <c r="C36" s="1" t="s">
        <v>5</v>
      </c>
      <c r="D36" s="12">
        <v>0</v>
      </c>
      <c r="E36" s="1" t="s">
        <v>6</v>
      </c>
      <c r="F36" s="12">
        <v>44</v>
      </c>
    </row>
    <row r="37" spans="1:6" x14ac:dyDescent="0.3">
      <c r="A37" s="7" t="s">
        <v>159</v>
      </c>
      <c r="B37" s="12">
        <v>20000</v>
      </c>
      <c r="C37" s="1" t="s">
        <v>5</v>
      </c>
      <c r="D37" s="12">
        <v>0</v>
      </c>
      <c r="E37" s="1" t="s">
        <v>6</v>
      </c>
      <c r="F37" s="12">
        <v>45</v>
      </c>
    </row>
    <row r="38" spans="1:6" x14ac:dyDescent="0.3">
      <c r="A38" s="7" t="s">
        <v>160</v>
      </c>
      <c r="B38" s="12">
        <v>20000</v>
      </c>
      <c r="C38" s="1" t="s">
        <v>5</v>
      </c>
      <c r="D38" s="12">
        <v>0</v>
      </c>
      <c r="E38" s="1" t="s">
        <v>6</v>
      </c>
      <c r="F38" s="12">
        <v>46</v>
      </c>
    </row>
    <row r="39" spans="1:6" x14ac:dyDescent="0.3">
      <c r="A39" s="7" t="s">
        <v>161</v>
      </c>
      <c r="B39" s="12">
        <v>20000</v>
      </c>
      <c r="C39" s="1" t="s">
        <v>5</v>
      </c>
      <c r="D39" s="12">
        <v>0</v>
      </c>
      <c r="E39" s="1" t="s">
        <v>6</v>
      </c>
      <c r="F39" s="12">
        <v>47</v>
      </c>
    </row>
    <row r="40" spans="1:6" x14ac:dyDescent="0.3">
      <c r="A40" s="7" t="s">
        <v>162</v>
      </c>
      <c r="B40" s="12">
        <v>20000</v>
      </c>
      <c r="C40" s="1" t="s">
        <v>5</v>
      </c>
      <c r="D40" s="12">
        <v>0</v>
      </c>
      <c r="E40" s="1" t="s">
        <v>6</v>
      </c>
      <c r="F40" s="12">
        <v>48</v>
      </c>
    </row>
    <row r="41" spans="1:6" x14ac:dyDescent="0.3">
      <c r="A41" s="7" t="s">
        <v>163</v>
      </c>
      <c r="B41" s="12">
        <v>20000</v>
      </c>
      <c r="C41" s="1" t="s">
        <v>5</v>
      </c>
      <c r="D41" s="12">
        <v>0</v>
      </c>
      <c r="E41" s="1" t="s">
        <v>6</v>
      </c>
      <c r="F41" s="12">
        <v>49</v>
      </c>
    </row>
    <row r="42" spans="1:6" x14ac:dyDescent="0.3">
      <c r="A42" s="7" t="s">
        <v>164</v>
      </c>
      <c r="B42" s="12">
        <v>20000</v>
      </c>
      <c r="C42" s="1" t="s">
        <v>5</v>
      </c>
      <c r="D42" s="12">
        <v>0</v>
      </c>
      <c r="E42" s="1" t="s">
        <v>6</v>
      </c>
      <c r="F42" s="12">
        <v>50</v>
      </c>
    </row>
    <row r="43" spans="1:6" x14ac:dyDescent="0.3">
      <c r="A43" s="7" t="s">
        <v>165</v>
      </c>
      <c r="B43" s="12">
        <v>20000</v>
      </c>
      <c r="C43" s="1" t="s">
        <v>5</v>
      </c>
      <c r="D43" s="12">
        <v>0</v>
      </c>
      <c r="E43" s="1" t="s">
        <v>6</v>
      </c>
      <c r="F43" s="12">
        <v>51</v>
      </c>
    </row>
    <row r="44" spans="1:6" x14ac:dyDescent="0.3">
      <c r="A44" s="7" t="s">
        <v>166</v>
      </c>
      <c r="B44" s="12">
        <v>20000</v>
      </c>
      <c r="C44" s="1" t="s">
        <v>5</v>
      </c>
      <c r="D44" s="12">
        <v>0</v>
      </c>
      <c r="E44" s="1" t="s">
        <v>6</v>
      </c>
      <c r="F44" s="12">
        <v>52</v>
      </c>
    </row>
    <row r="45" spans="1:6" x14ac:dyDescent="0.3">
      <c r="A45" s="7" t="s">
        <v>167</v>
      </c>
      <c r="B45" s="12">
        <v>20000</v>
      </c>
      <c r="C45" s="1" t="s">
        <v>5</v>
      </c>
      <c r="D45" s="12">
        <v>0</v>
      </c>
      <c r="E45" s="1" t="s">
        <v>6</v>
      </c>
      <c r="F45" s="12">
        <v>53</v>
      </c>
    </row>
    <row r="46" spans="1:6" x14ac:dyDescent="0.3">
      <c r="A46" s="7" t="s">
        <v>168</v>
      </c>
      <c r="B46" s="12">
        <v>20000</v>
      </c>
      <c r="C46" s="1" t="s">
        <v>5</v>
      </c>
      <c r="D46" s="12">
        <v>0</v>
      </c>
      <c r="E46" s="1" t="s">
        <v>6</v>
      </c>
      <c r="F46" s="12">
        <v>54</v>
      </c>
    </row>
    <row r="47" spans="1:6" x14ac:dyDescent="0.3">
      <c r="A47" s="7" t="s">
        <v>169</v>
      </c>
      <c r="B47" s="12">
        <v>20000</v>
      </c>
      <c r="C47" s="1" t="s">
        <v>5</v>
      </c>
      <c r="D47" s="12">
        <v>0</v>
      </c>
      <c r="E47" s="1" t="s">
        <v>6</v>
      </c>
      <c r="F47" s="12">
        <v>55</v>
      </c>
    </row>
    <row r="48" spans="1:6" x14ac:dyDescent="0.3">
      <c r="A48" s="7" t="s">
        <v>170</v>
      </c>
      <c r="B48" s="12">
        <v>20000</v>
      </c>
      <c r="C48" s="1" t="s">
        <v>5</v>
      </c>
      <c r="D48" s="12">
        <v>0</v>
      </c>
      <c r="E48" s="1" t="s">
        <v>6</v>
      </c>
      <c r="F48" s="12">
        <v>56</v>
      </c>
    </row>
    <row r="49" spans="1:6" x14ac:dyDescent="0.3">
      <c r="A49" s="7" t="s">
        <v>171</v>
      </c>
      <c r="B49" s="12">
        <v>20000</v>
      </c>
      <c r="C49" s="1" t="s">
        <v>5</v>
      </c>
      <c r="D49" s="12">
        <v>0</v>
      </c>
      <c r="E49" s="1" t="s">
        <v>6</v>
      </c>
      <c r="F49" s="12">
        <v>57</v>
      </c>
    </row>
    <row r="50" spans="1:6" x14ac:dyDescent="0.3">
      <c r="A50" s="7" t="s">
        <v>172</v>
      </c>
      <c r="B50" s="12">
        <v>20000</v>
      </c>
      <c r="C50" s="1" t="s">
        <v>5</v>
      </c>
      <c r="D50" s="12">
        <v>0</v>
      </c>
      <c r="E50" s="1" t="s">
        <v>6</v>
      </c>
      <c r="F50" s="12">
        <v>58</v>
      </c>
    </row>
    <row r="51" spans="1:6" x14ac:dyDescent="0.3">
      <c r="A51" s="7" t="s">
        <v>173</v>
      </c>
      <c r="B51" s="12">
        <v>20000</v>
      </c>
      <c r="C51" s="1" t="s">
        <v>5</v>
      </c>
      <c r="D51" s="12">
        <v>0</v>
      </c>
      <c r="E51" s="1" t="s">
        <v>6</v>
      </c>
      <c r="F51" s="12">
        <v>59</v>
      </c>
    </row>
    <row r="52" spans="1:6" x14ac:dyDescent="0.3">
      <c r="A52" s="7" t="s">
        <v>174</v>
      </c>
      <c r="B52" s="12">
        <v>20000</v>
      </c>
      <c r="C52" s="1" t="s">
        <v>5</v>
      </c>
      <c r="D52" s="12">
        <v>0</v>
      </c>
      <c r="E52" s="1" t="s">
        <v>6</v>
      </c>
      <c r="F52" s="12">
        <v>60</v>
      </c>
    </row>
    <row r="53" spans="1:6" x14ac:dyDescent="0.3">
      <c r="A53" s="7" t="s">
        <v>175</v>
      </c>
      <c r="B53" s="12">
        <v>20000</v>
      </c>
      <c r="C53" s="1" t="s">
        <v>5</v>
      </c>
      <c r="D53" s="12">
        <v>0</v>
      </c>
      <c r="E53" s="1" t="s">
        <v>6</v>
      </c>
      <c r="F53" s="12">
        <v>61</v>
      </c>
    </row>
    <row r="54" spans="1:6" x14ac:dyDescent="0.3">
      <c r="A54" s="7" t="s">
        <v>176</v>
      </c>
      <c r="B54" s="13">
        <v>20000</v>
      </c>
      <c r="C54" s="10" t="s">
        <v>5</v>
      </c>
      <c r="D54" s="13">
        <v>0</v>
      </c>
      <c r="E54" s="10" t="s">
        <v>6</v>
      </c>
      <c r="F54" s="13">
        <v>62</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B7" sqref="B7"/>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2" t="s">
        <v>85</v>
      </c>
      <c r="B1" s="41" t="s">
        <v>129</v>
      </c>
    </row>
    <row r="2" spans="1:3" ht="18" x14ac:dyDescent="0.35">
      <c r="B2" s="40" t="s">
        <v>128</v>
      </c>
    </row>
    <row r="5" spans="1:3" ht="14.4" x14ac:dyDescent="0.3">
      <c r="B5" s="1" t="s">
        <v>113</v>
      </c>
    </row>
    <row r="6" spans="1:3" ht="14.4" x14ac:dyDescent="0.3">
      <c r="A6" s="3" t="s">
        <v>53</v>
      </c>
      <c r="B6" s="1" t="s">
        <v>188</v>
      </c>
    </row>
    <row r="7" spans="1:3" ht="14.4" x14ac:dyDescent="0.3">
      <c r="A7" s="3" t="s">
        <v>115</v>
      </c>
      <c r="B7" s="1" t="s">
        <v>189</v>
      </c>
    </row>
    <row r="10" spans="1:3" ht="23.4" x14ac:dyDescent="0.45">
      <c r="A10" s="18" t="s">
        <v>124</v>
      </c>
    </row>
    <row r="11" spans="1:3" ht="14.4" x14ac:dyDescent="0.3">
      <c r="A11" s="32" t="s">
        <v>86</v>
      </c>
      <c r="B11" s="17" t="s">
        <v>87</v>
      </c>
      <c r="C11" s="17" t="s">
        <v>88</v>
      </c>
    </row>
    <row r="12" spans="1:3" ht="14.4" x14ac:dyDescent="0.3">
      <c r="A12" s="32">
        <v>44927</v>
      </c>
      <c r="B12" s="17" t="s">
        <v>59</v>
      </c>
      <c r="C12" s="17">
        <v>200</v>
      </c>
    </row>
    <row r="13" spans="1:3" ht="14.4" x14ac:dyDescent="0.3">
      <c r="A13" s="32">
        <v>44928</v>
      </c>
      <c r="B13" s="17" t="s">
        <v>60</v>
      </c>
      <c r="C13" s="17" t="e">
        <v>#N/A</v>
      </c>
    </row>
    <row r="14" spans="1:3" ht="14.4" x14ac:dyDescent="0.3">
      <c r="A14" s="32">
        <v>44929</v>
      </c>
      <c r="B14" s="17" t="s">
        <v>61</v>
      </c>
      <c r="C14" s="17">
        <v>50</v>
      </c>
    </row>
    <row r="15" spans="1:3" ht="14.4" x14ac:dyDescent="0.3">
      <c r="A15" s="32">
        <v>44930</v>
      </c>
      <c r="B15" s="17" t="s">
        <v>62</v>
      </c>
      <c r="C15" s="17" t="e">
        <v>#N/A</v>
      </c>
    </row>
    <row r="16" spans="1:3" ht="14.4" x14ac:dyDescent="0.3">
      <c r="A16" s="32">
        <v>44931</v>
      </c>
      <c r="B16" s="17" t="s">
        <v>63</v>
      </c>
      <c r="C16" s="17">
        <v>10</v>
      </c>
    </row>
    <row r="17" spans="1:3" ht="14.4" x14ac:dyDescent="0.3">
      <c r="A17" s="32">
        <v>44932</v>
      </c>
      <c r="B17" s="17" t="s">
        <v>116</v>
      </c>
      <c r="C17" s="17">
        <v>150</v>
      </c>
    </row>
    <row r="18" spans="1:3" ht="14.4" x14ac:dyDescent="0.3">
      <c r="A18" s="32">
        <v>44933</v>
      </c>
      <c r="B18" s="17" t="s">
        <v>117</v>
      </c>
      <c r="C18" s="17">
        <v>80</v>
      </c>
    </row>
    <row r="19" spans="1:3" ht="14.4" x14ac:dyDescent="0.3">
      <c r="A19" s="32">
        <v>44934</v>
      </c>
      <c r="B19" s="17" t="s">
        <v>118</v>
      </c>
      <c r="C19" s="17" t="e">
        <v>#N/A</v>
      </c>
    </row>
    <row r="20" spans="1:3" ht="14.4" x14ac:dyDescent="0.3">
      <c r="A20" s="32">
        <v>44935</v>
      </c>
      <c r="B20" s="17" t="s">
        <v>119</v>
      </c>
      <c r="C20" s="17">
        <v>30</v>
      </c>
    </row>
    <row r="21" spans="1:3" ht="14.4" x14ac:dyDescent="0.3">
      <c r="A21" s="32">
        <v>44936</v>
      </c>
      <c r="B21" s="17" t="s">
        <v>120</v>
      </c>
      <c r="C21" s="17" t="e">
        <v>#N/A</v>
      </c>
    </row>
    <row r="22" spans="1:3" ht="14.4" x14ac:dyDescent="0.3">
      <c r="B22" s="17" t="s">
        <v>121</v>
      </c>
      <c r="C22" s="25" t="e" cm="1">
        <f t="array" aca="1" ref="C22" ca="1">B6SUM(IFERROR(C12:C21,20))</f>
        <v>#NAME?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6"/>
  <sheetViews>
    <sheetView tabSelected="1" zoomScaleNormal="100" workbookViewId="0">
      <selection activeCell="D33" sqref="D33"/>
    </sheetView>
  </sheetViews>
  <sheetFormatPr defaultColWidth="11" defaultRowHeight="13.8" x14ac:dyDescent="0.3"/>
  <cols>
    <col min="1" max="1" width="35.21875" style="2" customWidth="1"/>
    <col min="2" max="12" width="11" style="2"/>
    <col min="13" max="13" width="14" style="2" customWidth="1"/>
    <col min="14" max="16384" width="11" style="2"/>
  </cols>
  <sheetData>
    <row r="1" spans="1:14" ht="21" x14ac:dyDescent="0.4">
      <c r="A1" s="42" t="s">
        <v>98</v>
      </c>
      <c r="B1" s="41" t="s">
        <v>137</v>
      </c>
    </row>
    <row r="3" spans="1:14" ht="14.4" x14ac:dyDescent="0.3">
      <c r="B3" s="1" t="s">
        <v>113</v>
      </c>
    </row>
    <row r="4" spans="1:14" ht="18" x14ac:dyDescent="0.35">
      <c r="A4" s="43" t="s">
        <v>53</v>
      </c>
      <c r="B4" s="1" t="s">
        <v>190</v>
      </c>
    </row>
    <row r="5" spans="1:14" ht="18" x14ac:dyDescent="0.35">
      <c r="A5" s="43" t="s">
        <v>115</v>
      </c>
      <c r="B5" s="1" t="s">
        <v>191</v>
      </c>
    </row>
    <row r="6" spans="1:14" ht="14.4" x14ac:dyDescent="0.3">
      <c r="A6" s="3"/>
      <c r="B6" s="1"/>
    </row>
    <row r="8" spans="1:14" ht="23.4" x14ac:dyDescent="0.45">
      <c r="A8" s="18" t="s">
        <v>124</v>
      </c>
      <c r="B8" s="2" t="s">
        <v>178</v>
      </c>
      <c r="C8" s="2" t="s">
        <v>179</v>
      </c>
      <c r="D8" s="2" t="s">
        <v>180</v>
      </c>
      <c r="E8" s="2" t="s">
        <v>181</v>
      </c>
      <c r="F8" s="2" t="s">
        <v>182</v>
      </c>
      <c r="G8" s="2" t="s">
        <v>183</v>
      </c>
      <c r="H8" s="2" t="s">
        <v>184</v>
      </c>
      <c r="I8" s="2" t="s">
        <v>185</v>
      </c>
      <c r="J8" s="2" t="s">
        <v>186</v>
      </c>
      <c r="M8" s="56" t="s">
        <v>125</v>
      </c>
      <c r="N8" s="2" t="s">
        <v>178</v>
      </c>
    </row>
    <row r="9" spans="1:14" ht="14.4" x14ac:dyDescent="0.3">
      <c r="A9" s="51" t="s">
        <v>178</v>
      </c>
      <c r="B9" s="52" t="s">
        <v>89</v>
      </c>
      <c r="C9" s="52" t="s">
        <v>90</v>
      </c>
      <c r="D9" s="52" t="s">
        <v>91</v>
      </c>
      <c r="E9" s="52" t="s">
        <v>92</v>
      </c>
      <c r="F9" s="52" t="s">
        <v>93</v>
      </c>
      <c r="G9" s="52" t="s">
        <v>94</v>
      </c>
      <c r="H9" s="52" t="s">
        <v>95</v>
      </c>
      <c r="I9" s="52" t="s">
        <v>96</v>
      </c>
      <c r="J9" s="53" t="s">
        <v>97</v>
      </c>
      <c r="M9" s="48" t="s">
        <v>43</v>
      </c>
      <c r="N9" s="49" t="s">
        <v>99</v>
      </c>
    </row>
    <row r="10" spans="1:14" ht="14.4" x14ac:dyDescent="0.3">
      <c r="A10" s="50" t="s">
        <v>89</v>
      </c>
      <c r="B10" s="25">
        <v>-1</v>
      </c>
      <c r="C10" s="25">
        <v>95</v>
      </c>
      <c r="D10" s="25">
        <v>-1</v>
      </c>
      <c r="E10" s="25">
        <v>185</v>
      </c>
      <c r="F10" s="25">
        <v>255</v>
      </c>
      <c r="G10" s="25">
        <v>305</v>
      </c>
      <c r="H10" s="25">
        <v>415</v>
      </c>
      <c r="I10" s="25">
        <v>480</v>
      </c>
      <c r="J10" s="38">
        <v>525</v>
      </c>
      <c r="M10" s="8">
        <v>10100</v>
      </c>
      <c r="N10" s="7" t="s">
        <v>89</v>
      </c>
    </row>
    <row r="11" spans="1:14" ht="14.4" x14ac:dyDescent="0.3">
      <c r="A11" s="50" t="s">
        <v>90</v>
      </c>
      <c r="B11" s="25">
        <v>95</v>
      </c>
      <c r="C11" s="25">
        <v>-1</v>
      </c>
      <c r="D11" s="25">
        <v>-1</v>
      </c>
      <c r="E11" s="25">
        <v>90</v>
      </c>
      <c r="F11" s="25">
        <v>160</v>
      </c>
      <c r="G11" s="25">
        <v>210</v>
      </c>
      <c r="H11" s="25">
        <v>325</v>
      </c>
      <c r="I11" s="25">
        <v>390</v>
      </c>
      <c r="J11" s="38">
        <v>430</v>
      </c>
      <c r="M11" s="8">
        <v>10102</v>
      </c>
      <c r="N11" s="7" t="s">
        <v>90</v>
      </c>
    </row>
    <row r="12" spans="1:14" ht="14.4" x14ac:dyDescent="0.3">
      <c r="A12" s="50" t="s">
        <v>91</v>
      </c>
      <c r="B12" s="25">
        <v>-1</v>
      </c>
      <c r="C12" s="25">
        <v>-1</v>
      </c>
      <c r="D12" s="25">
        <v>-1</v>
      </c>
      <c r="E12" s="25">
        <v>60</v>
      </c>
      <c r="F12" s="25">
        <v>130</v>
      </c>
      <c r="G12" s="25">
        <v>180</v>
      </c>
      <c r="H12" s="25">
        <v>295</v>
      </c>
      <c r="I12" s="25">
        <v>355</v>
      </c>
      <c r="J12" s="38">
        <v>400</v>
      </c>
      <c r="M12" s="8">
        <v>10104</v>
      </c>
      <c r="N12" s="7" t="s">
        <v>91</v>
      </c>
    </row>
    <row r="13" spans="1:14" ht="14.4" x14ac:dyDescent="0.3">
      <c r="A13" s="50" t="s">
        <v>92</v>
      </c>
      <c r="B13" s="25">
        <v>185</v>
      </c>
      <c r="C13" s="25">
        <v>90</v>
      </c>
      <c r="D13" s="25">
        <v>60</v>
      </c>
      <c r="E13" s="25">
        <v>-1</v>
      </c>
      <c r="F13" s="25">
        <v>70</v>
      </c>
      <c r="G13" s="25">
        <v>120</v>
      </c>
      <c r="H13" s="25">
        <v>235</v>
      </c>
      <c r="I13" s="25">
        <v>300</v>
      </c>
      <c r="J13" s="38">
        <v>340</v>
      </c>
      <c r="M13" s="8">
        <v>10106</v>
      </c>
      <c r="N13" s="7" t="s">
        <v>92</v>
      </c>
    </row>
    <row r="14" spans="1:14" ht="14.4" x14ac:dyDescent="0.3">
      <c r="A14" s="50" t="s">
        <v>93</v>
      </c>
      <c r="B14" s="25">
        <v>255</v>
      </c>
      <c r="C14" s="25">
        <v>160</v>
      </c>
      <c r="D14" s="25">
        <v>130</v>
      </c>
      <c r="E14" s="25">
        <v>70</v>
      </c>
      <c r="F14" s="25">
        <v>-1</v>
      </c>
      <c r="G14" s="25">
        <v>50</v>
      </c>
      <c r="H14" s="25">
        <v>165</v>
      </c>
      <c r="I14" s="25">
        <v>230</v>
      </c>
      <c r="J14" s="38">
        <v>270</v>
      </c>
      <c r="M14" s="8">
        <v>10108</v>
      </c>
      <c r="N14" s="7" t="s">
        <v>93</v>
      </c>
    </row>
    <row r="15" spans="1:14" ht="14.4" x14ac:dyDescent="0.3">
      <c r="A15" s="50" t="s">
        <v>94</v>
      </c>
      <c r="B15" s="25">
        <v>305</v>
      </c>
      <c r="C15" s="25">
        <v>210</v>
      </c>
      <c r="D15" s="25">
        <v>180</v>
      </c>
      <c r="E15" s="25">
        <v>120</v>
      </c>
      <c r="F15" s="25">
        <v>50</v>
      </c>
      <c r="G15" s="25">
        <v>-1</v>
      </c>
      <c r="H15" s="25">
        <v>115</v>
      </c>
      <c r="I15" s="25">
        <v>180</v>
      </c>
      <c r="J15" s="38">
        <v>220</v>
      </c>
      <c r="M15" s="8">
        <v>10110</v>
      </c>
      <c r="N15" s="7" t="s">
        <v>94</v>
      </c>
    </row>
    <row r="16" spans="1:14" ht="14.4" x14ac:dyDescent="0.3">
      <c r="A16" s="50" t="s">
        <v>95</v>
      </c>
      <c r="B16" s="25">
        <v>415</v>
      </c>
      <c r="C16" s="25">
        <v>325</v>
      </c>
      <c r="D16" s="25">
        <v>295</v>
      </c>
      <c r="E16" s="25">
        <v>235</v>
      </c>
      <c r="F16" s="25">
        <v>165</v>
      </c>
      <c r="G16" s="25">
        <v>115</v>
      </c>
      <c r="H16" s="25">
        <v>-1</v>
      </c>
      <c r="I16" s="25">
        <v>65</v>
      </c>
      <c r="J16" s="38">
        <v>105</v>
      </c>
      <c r="M16" s="8">
        <v>10112</v>
      </c>
      <c r="N16" s="7" t="s">
        <v>95</v>
      </c>
    </row>
    <row r="17" spans="1:14" ht="14.4" x14ac:dyDescent="0.3">
      <c r="A17" s="50" t="s">
        <v>96</v>
      </c>
      <c r="B17" s="25">
        <v>480</v>
      </c>
      <c r="C17" s="25">
        <v>390</v>
      </c>
      <c r="D17" s="25">
        <v>355</v>
      </c>
      <c r="E17" s="25">
        <v>300</v>
      </c>
      <c r="F17" s="25">
        <v>230</v>
      </c>
      <c r="G17" s="25">
        <v>180</v>
      </c>
      <c r="H17" s="25">
        <v>65</v>
      </c>
      <c r="I17" s="25">
        <v>-1</v>
      </c>
      <c r="J17" s="38">
        <v>40</v>
      </c>
      <c r="M17" s="8">
        <v>10114</v>
      </c>
      <c r="N17" s="7" t="s">
        <v>96</v>
      </c>
    </row>
    <row r="18" spans="1:14" ht="14.4" x14ac:dyDescent="0.3">
      <c r="A18" s="54" t="s">
        <v>97</v>
      </c>
      <c r="B18" s="47">
        <v>525</v>
      </c>
      <c r="C18" s="47">
        <v>430</v>
      </c>
      <c r="D18" s="47">
        <v>400</v>
      </c>
      <c r="E18" s="47">
        <v>340</v>
      </c>
      <c r="F18" s="47">
        <v>270</v>
      </c>
      <c r="G18" s="47">
        <v>220</v>
      </c>
      <c r="H18" s="47">
        <v>105</v>
      </c>
      <c r="I18" s="47">
        <v>40</v>
      </c>
      <c r="J18" s="55">
        <v>-1</v>
      </c>
      <c r="M18" s="8">
        <v>10116</v>
      </c>
      <c r="N18" s="7" t="s">
        <v>97</v>
      </c>
    </row>
    <row r="21" spans="1:14" ht="23.4" x14ac:dyDescent="0.45">
      <c r="A21" s="18" t="s">
        <v>130</v>
      </c>
    </row>
    <row r="22" spans="1:14" ht="14.4" x14ac:dyDescent="0.3">
      <c r="A22" s="14" t="s">
        <v>100</v>
      </c>
      <c r="B22" s="17" t="s">
        <v>101</v>
      </c>
      <c r="C22" s="16" t="s">
        <v>102</v>
      </c>
    </row>
    <row r="23" spans="1:14" ht="14.4" x14ac:dyDescent="0.3">
      <c r="A23" s="7">
        <v>10100</v>
      </c>
      <c r="B23" s="12">
        <v>10102</v>
      </c>
      <c r="C23" s="44" t="e" cm="1">
        <f t="array" ref="C23">_xlfn.XLOOKUP(A23 &amp; B23, Table_B[ID] &amp; Table_B[Name], INDEX(Table_A[], 0, 0))</f>
        <v>#N/A</v>
      </c>
    </row>
    <row r="24" spans="1:14" ht="14.4" x14ac:dyDescent="0.3">
      <c r="A24" s="7">
        <v>10100</v>
      </c>
      <c r="B24" s="12">
        <v>10104</v>
      </c>
      <c r="C24" s="44" t="e" cm="1">
        <f t="array" ref="C24">_xlfn.XLOOKUP(A24 &amp; B24, Table_B[ID] &amp; Table_B[Name], INDEX(Table_A[], 0, 0))</f>
        <v>#N/A</v>
      </c>
    </row>
    <row r="25" spans="1:14" ht="14.4" x14ac:dyDescent="0.3">
      <c r="A25" s="7">
        <v>10108</v>
      </c>
      <c r="B25" s="12">
        <v>10102</v>
      </c>
      <c r="C25" s="44" t="e" cm="1">
        <f t="array" ref="C25">_xlfn.XLOOKUP(A25 &amp; B25, Table_B[ID] &amp; Table_B[Name], INDEX(Table_A[], 0, 0))</f>
        <v>#N/A</v>
      </c>
    </row>
    <row r="26" spans="1:14" ht="14.4" x14ac:dyDescent="0.3">
      <c r="A26" s="7">
        <v>10100</v>
      </c>
      <c r="B26" s="12">
        <v>10106</v>
      </c>
      <c r="C26" s="44" t="e" cm="1">
        <f t="array" ref="C26">_xlfn.XLOOKUP(A26 &amp; B26, Table_B[ID] &amp; Table_B[Name], INDEX(Table_A[], 0, 0))</f>
        <v>#N/A</v>
      </c>
    </row>
    <row r="27" spans="1:14" ht="14.4" x14ac:dyDescent="0.3">
      <c r="A27" s="7">
        <v>10108</v>
      </c>
      <c r="B27" s="12">
        <v>10110</v>
      </c>
      <c r="C27" s="44" t="e" cm="1">
        <f t="array" ref="C27">_xlfn.XLOOKUP(A27 &amp; B27, Table_B[ID] &amp; Table_B[Name], INDEX(Table_A[], 0, 0))</f>
        <v>#N/A</v>
      </c>
    </row>
    <row r="28" spans="1:14" ht="14.4" x14ac:dyDescent="0.3">
      <c r="A28" s="7">
        <v>10102</v>
      </c>
      <c r="B28" s="12">
        <v>10104</v>
      </c>
      <c r="C28" s="44" t="e" cm="1">
        <f t="array" ref="C28">_xlfn.XLOOKUP(A28 &amp; B28, Table_B[ID] &amp; Table_B[Name], INDEX(Table_A[], 0, 0))</f>
        <v>#N/A</v>
      </c>
    </row>
    <row r="29" spans="1:14" ht="14.4" x14ac:dyDescent="0.3">
      <c r="A29" s="7">
        <v>10106</v>
      </c>
      <c r="B29" s="12">
        <v>10108</v>
      </c>
      <c r="C29" s="44" t="e" cm="1">
        <f t="array" ref="C29">_xlfn.XLOOKUP(A29 &amp; B29, Table_B[ID] &amp; Table_B[Name], INDEX(Table_A[], 0, 0))</f>
        <v>#N/A</v>
      </c>
    </row>
    <row r="30" spans="1:14" ht="14.4" x14ac:dyDescent="0.3">
      <c r="A30" s="7">
        <v>10102</v>
      </c>
      <c r="B30" s="12">
        <v>10106</v>
      </c>
      <c r="C30" s="44" t="e" cm="1">
        <f t="array" ref="C30">_xlfn.XLOOKUP(A30 &amp; B30, Table_B[ID] &amp; Table_B[Name], INDEX(Table_A[], 0, 0))</f>
        <v>#N/A</v>
      </c>
    </row>
    <row r="31" spans="1:14" ht="14.4" x14ac:dyDescent="0.3">
      <c r="A31" s="7">
        <v>10110</v>
      </c>
      <c r="B31" s="12">
        <v>10114</v>
      </c>
      <c r="C31" s="44" t="e" cm="1">
        <f t="array" ref="C31">_xlfn.XLOOKUP(A31 &amp; B31, Table_B[ID] &amp; Table_B[Name], INDEX(Table_A[], 0, 0))</f>
        <v>#N/A</v>
      </c>
    </row>
    <row r="32" spans="1:14" ht="14.4" x14ac:dyDescent="0.3">
      <c r="A32" s="7">
        <v>10104</v>
      </c>
      <c r="B32" s="12">
        <v>10106</v>
      </c>
      <c r="C32" s="44" t="e" cm="1">
        <f t="array" ref="C32">_xlfn.XLOOKUP(A32 &amp; B32, Table_B[ID] &amp; Table_B[Name], INDEX(Table_A[], 0, 0))</f>
        <v>#N/A</v>
      </c>
    </row>
    <row r="33" spans="1:3" ht="14.4" x14ac:dyDescent="0.3">
      <c r="A33" s="7">
        <v>10110</v>
      </c>
      <c r="B33" s="12">
        <v>10112</v>
      </c>
      <c r="C33" s="44" t="e" cm="1">
        <f t="array" ref="C33">_xlfn.XLOOKUP(A33 &amp; B33, Table_B[ID] &amp; Table_B[Name], INDEX(Table_A[], 0, 0))</f>
        <v>#N/A</v>
      </c>
    </row>
    <row r="34" spans="1:3" ht="14.4" x14ac:dyDescent="0.3">
      <c r="A34" s="7">
        <v>10100</v>
      </c>
      <c r="B34" s="12">
        <v>10114</v>
      </c>
      <c r="C34" s="44" t="e" cm="1">
        <f t="array" ref="C34">_xlfn.XLOOKUP(A34 &amp; B34, Table_B[ID] &amp; Table_B[Name], INDEX(Table_A[], 0, 0))</f>
        <v>#N/A</v>
      </c>
    </row>
    <row r="35" spans="1:3" ht="14.4" x14ac:dyDescent="0.3">
      <c r="A35" s="9">
        <v>10112</v>
      </c>
      <c r="B35" s="13">
        <v>10116</v>
      </c>
      <c r="C35" s="44" t="e" cm="1">
        <f t="array" ref="C35">_xlfn.XLOOKUP(A35 &amp; B35, Table_B[ID] &amp; Table_B[Name], INDEX(Table_A[], 0, 0))</f>
        <v>#N/A</v>
      </c>
    </row>
    <row r="36" spans="1:3" x14ac:dyDescent="0.3">
      <c r="C36" s="44"/>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JIBIN BABU</cp:lastModifiedBy>
  <dcterms:created xsi:type="dcterms:W3CDTF">2015-02-10T17:33:11Z</dcterms:created>
  <dcterms:modified xsi:type="dcterms:W3CDTF">2023-12-10T08:49:23Z</dcterms:modified>
</cp:coreProperties>
</file>